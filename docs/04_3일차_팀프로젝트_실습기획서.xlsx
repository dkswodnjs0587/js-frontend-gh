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"/>
    </mc:Choice>
  </mc:AlternateContent>
  <xr:revisionPtr revIDLastSave="0" documentId="13_ncr:1_{00DB4800-9453-477E-B7D7-EBEE4B8AF24E}" xr6:coauthVersionLast="47" xr6:coauthVersionMax="47" xr10:uidLastSave="{00000000-0000-0000-0000-000000000000}"/>
  <bookViews>
    <workbookView xWindow="9195" yWindow="2910" windowWidth="28800" windowHeight="17295" tabRatio="500" firstSheet="2" activeTab="5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4" l="1"/>
  <c r="G7" i="4"/>
  <c r="G8" i="4"/>
  <c r="G9" i="4"/>
  <c r="G13" i="4"/>
  <c r="G12" i="4"/>
  <c r="G11" i="4"/>
  <c r="G10" i="4"/>
</calcChain>
</file>

<file path=xl/sharedStrings.xml><?xml version="1.0" encoding="utf-8"?>
<sst xmlns="http://schemas.openxmlformats.org/spreadsheetml/2006/main" count="320" uniqueCount="253">
  <si>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</si>
  <si>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</si>
  <si>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</si>
  <si>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</si>
  <si>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</si>
  <si>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</si>
  <si>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</si>
  <si>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</si>
  <si>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</si>
  <si>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</si>
  <si>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</si>
  <si>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</si>
  <si>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</si>
  <si>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</si>
  <si>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</si>
  <si>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</si>
  <si>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</si>
  <si>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</si>
  <si>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</si>
  <si>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</si>
  <si>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</si>
  <si>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</si>
  <si>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</si>
  <si>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</si>
  <si>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</si>
  <si>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</si>
  <si>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</si>
  <si>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</si>
  <si>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</si>
  <si>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</si>
  <si>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</si>
  <si>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</si>
  <si>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</si>
  <si>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</si>
  <si>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</si>
  <si>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</si>
  <si>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</si>
  <si>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</si>
  <si>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</si>
  <si>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</si>
  <si>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</si>
  <si>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</si>
  <si>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</si>
  <si>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</si>
  <si>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</si>
  <si>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</si>
  <si>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</si>
  <si>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</si>
  <si>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</si>
  <si>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</si>
  <si>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</si>
  <si>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리스크 및 대응 (실습: 프롬프트가이드 탭의 '리스크점검' 프롬프트 활용)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</si>
  <si>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</si>
  <si>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</si>
  <si>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</si>
  <si>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</si>
  <si>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</si>
  <si>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</si>
  <si>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</si>
  <si>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</si>
  <si>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</si>
  <si>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</si>
  <si>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</si>
  <si>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</si>
  <si>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</si>
  <si>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</si>
  <si>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</si>
  <si>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</si>
  <si>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</si>
  <si>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</si>
  <si>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</si>
  <si>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</si>
  <si>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</si>
  <si>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</si>
  <si>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</si>
  <si>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</si>
  <si>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</si>
  <si>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</si>
  <si>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</si>
  <si>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</si>
  <si>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</si>
  <si>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</si>
  <si>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</si>
  <si>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</si>
  <si>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</si>
  <si>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</si>
  <si>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</si>
  <si>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</si>
  <si>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</si>
  <si>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</si>
  <si>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</si>
  <si>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</si>
  <si>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</si>
  <si>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</si>
  <si>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</si>
  <si>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</si>
  <si>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</si>
  <si>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</si>
  <si>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</si>
  <si>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</si>
  <si>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</si>
  <si>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</si>
  <si>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</si>
  <si>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</si>
  <si>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</si>
  <si>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</si>
  <si>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</si>
  <si>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</si>
  <si>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</si>
  <si>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</si>
  <si>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</si>
  <si>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</si>
  <si>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</si>
  <si>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</si>
  <si>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</si>
  <si>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</si>
  <si>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</si>
  <si>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</si>
  <si>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</si>
  <si>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</si>
  <si>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</si>
  <si>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</si>
  <si>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</si>
  <si>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</si>
  <si>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</si>
  <si>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</si>
  <si>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</si>
  <si>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</si>
  <si>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</si>
  <si>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</si>
  <si>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</si>
  <si>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</si>
  <si>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</si>
  <si>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</si>
  <si>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</si>
  <si>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</si>
  <si>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</si>
  <si>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</si>
  <si>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</si>
  <si>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</si>
  <si>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</si>
  <si>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</si>
  <si>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</si>
  <si>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</si>
  <si>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Arial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Arial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Arial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Arial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Arial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실현가능성(난이도가 낮을수록 높음)과 임팩트(사용자 체감 효과)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(선택 가능한 후보 표 붙여넣기, 9 page 내용 ) ---</t>
    </r>
    <phoneticPr fontId="17" type="noConversion"/>
  </si>
  <si>
    <t>이 프로젝트의 MVP 범위를 MoSCoW 방식으로 정리해줘._x000B_Must have는 개발 의뢰 문서(RFP)의 '필수' 항목 그대로, _x000B_Should/Could have는 평과 결과를 고려,Won't have(이번엔 안 하는 것)도 명확히 구분해서 표로 만들어줘._x000B_--- (개발 의뢰 문서(RFP) 원문 전체 및 평가 결과 넣기) ---</t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</si>
  <si>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</si>
  <si>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</si>
  <si>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</si>
  <si>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</si>
  <si>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팀전체</t>
  </si>
  <si>
    <t>BE</t>
  </si>
  <si>
    <t>FE</t>
  </si>
  <si>
    <t>지도 시각화</t>
  </si>
  <si>
    <t>Leaflet.js/Kakao Maps로 관광지.맛집 핀 시각화 및 권역 필터</t>
  </si>
  <si>
    <t>데이터 시각화 대시보드</t>
  </si>
  <si>
    <t>Chart.js/D3.js로 권역별 게시글 현황, 인기 지역 통계</t>
  </si>
  <si>
    <t>축제 캘린더</t>
  </si>
  <si>
    <t>FullCalendar 등으로 권역별 축제 일정 캘린더 시각화</t>
  </si>
  <si>
    <t>경로 안내</t>
  </si>
  <si>
    <t>복수 관광지.맛집 선택 후 이동 경로 지도 시각화</t>
  </si>
  <si>
    <t>날씨 정보 연동</t>
  </si>
  <si>
    <t>외부 날씨 API 연동, 권역별 현재 날씨.여행 적합도 표시</t>
  </si>
  <si>
    <t>실시간 알림</t>
  </si>
  <si>
    <t>WebSocket(새로고침 없이 실시간으로 데이터를 주고받는 통신 방식) 기반 새 게시글 실시간 알림/접속자 현황</t>
  </si>
  <si>
    <t>다국어 지원</t>
  </si>
  <si>
    <t>i18n(여러 나라 언어를 지원하게 만드는 기술) 활용 한/영 전환 및 다국어 콘텐츠</t>
  </si>
  <si>
    <t>소셜 공유 연동</t>
  </si>
  <si>
    <t>카카오톡.링크 복사 공유 및 OG 태그(공유했을 때 미리보기를 예쁘게 보여주는 설정) 메타데이터</t>
  </si>
  <si>
    <t>선정</t>
  </si>
  <si>
    <t>제외</t>
  </si>
  <si>
    <t>보류</t>
  </si>
  <si>
    <r>
      <rPr>
        <sz val="11"/>
        <color theme="1"/>
        <rFont val="맑은 고딕"/>
        <family val="3"/>
        <charset val="129"/>
      </rPr>
      <t>지도</t>
    </r>
    <r>
      <rPr>
        <sz val="11"/>
        <color theme="1"/>
        <rFont val="돋움"/>
        <family val="2"/>
        <charset val="129"/>
      </rPr>
      <t xml:space="preserve"> 시각화(1순위)</t>
    </r>
    <r>
      <rPr>
        <sz val="11"/>
        <color theme="1"/>
        <rFont val="Calibri"/>
        <family val="2"/>
        <charset val="1"/>
      </rPr>
      <t>/</t>
    </r>
    <phoneticPr fontId="17" type="noConversion"/>
  </si>
  <si>
    <t>추가 데이터 라이선스</t>
  </si>
  <si>
    <t>제약</t>
  </si>
  <si>
    <r>
      <t xml:space="preserve">제공 JSON 외 추가 데이터 수집 시, </t>
    </r>
    <r>
      <rPr>
        <b/>
        <sz val="11"/>
        <color theme="1"/>
        <rFont val="Calibri"/>
        <family val="2"/>
      </rPr>
      <t>반드시</t>
    </r>
    <r>
      <rPr>
        <sz val="11"/>
        <color theme="1"/>
        <rFont val="Calibri"/>
        <family val="2"/>
        <charset val="1"/>
      </rPr>
      <t xml:space="preserve"> 해당 데이터의 사용 범위(라이선스 공공누리 유형 등)를 사전 확인 및 상업적/서비스 활용 가능 여부 검토 후 사용</t>
    </r>
  </si>
  <si>
    <t>II. 2항&lt;br&gt;III. 가, 나</t>
  </si>
  <si>
    <t>저작권 분쟁 소지를 차단하기 위해 데이터 수집 전 사전 승인 프로세스 수립 필요.</t>
  </si>
  <si>
    <t>보안 및 민감 정보</t>
  </si>
  <si>
    <r>
      <t xml:space="preserve">API 키, DB 경로 등은 </t>
    </r>
    <r>
      <rPr>
        <b/>
        <sz val="11"/>
        <color theme="1"/>
        <rFont val="Calibri"/>
        <family val="2"/>
      </rPr>
      <t>반드시</t>
    </r>
    <r>
      <rPr>
        <sz val="11"/>
        <color theme="1"/>
        <rFont val="Calibri"/>
        <family val="2"/>
        <charset val="1"/>
      </rPr>
      <t xml:space="preserve"> 환경변수(.env)로 관리, 소스코드 및 저장소 직접 기재 </t>
    </r>
    <r>
      <rPr>
        <b/>
        <sz val="11"/>
        <color theme="1"/>
        <rFont val="Calibri"/>
        <family val="2"/>
      </rPr>
      <t>절대 금지</t>
    </r>
    <r>
      <rPr>
        <sz val="11"/>
        <color theme="1"/>
        <rFont val="Calibri"/>
        <family val="2"/>
        <charset val="1"/>
      </rPr>
      <t xml:space="preserve">. .env 파일은 </t>
    </r>
    <r>
      <rPr>
        <b/>
        <sz val="11"/>
        <color theme="1"/>
        <rFont val="Calibri"/>
        <family val="2"/>
      </rPr>
      <t>반드시</t>
    </r>
    <r>
      <rPr>
        <sz val="11"/>
        <color theme="1"/>
        <rFont val="Calibri"/>
        <family val="2"/>
        <charset val="1"/>
      </rPr>
      <t xml:space="preserve"> 버전 관리에서 제외(.gitignore)</t>
    </r>
  </si>
  <si>
    <t>III. 백엔드 구현 - 나</t>
  </si>
  <si>
    <t>리포지토리 커밋 훅(Hook)으로 민감정보 필터링 적용 권장.</t>
  </si>
  <si>
    <t>데이터 영속성</t>
  </si>
  <si>
    <r>
      <t xml:space="preserve">커뮤니티 데이터는 </t>
    </r>
    <r>
      <rPr>
        <b/>
        <sz val="11"/>
        <color theme="1"/>
        <rFont val="Calibri"/>
        <family val="2"/>
      </rPr>
      <t>반드시</t>
    </r>
    <r>
      <rPr>
        <sz val="11"/>
        <color theme="1"/>
        <rFont val="Calibri"/>
        <family val="2"/>
        <charset val="1"/>
      </rPr>
      <t xml:space="preserve"> DB(SQLite)에 저장되어 관리되어야 함</t>
    </r>
  </si>
  <si>
    <t>III. 커뮤니티 구현 - 라</t>
  </si>
  <si>
    <t>배포 서버 재시작 시 데이터가 증발하지 않도록 볼륨 마운트 등 지속성 확보 설계 필수.</t>
  </si>
  <si>
    <t>예산 및 API 한도</t>
  </si>
  <si>
    <t>외부 서비스 비용은 제공된 API 키 범위 내에서 운영해야 하며, 정해진 예산 초과 불가</t>
  </si>
  <si>
    <t>II. 2항</t>
  </si>
  <si>
    <t>종량제 과금 방지를 위한 백엔드 토큰 사용량 제한(Rate Limiting) 로직 구현 필요.</t>
  </si>
  <si>
    <t>개발 도구 통제</t>
  </si>
  <si>
    <t>VSCode Copilot + OpenAI API Key 조합만 허용되며, 타 AI 코딩 도구(Claude Code, Cursor 등)는 보안상 사유로 사용 불가(위반 시 계약 처리)</t>
  </si>
  <si>
    <t>III. 개발 환경 정책</t>
  </si>
  <si>
    <t>팀원 전원에게 타 도구 사용 금지 인지 및 준수 서약 징구 필요.</t>
  </si>
  <si>
    <t>필수</t>
  </si>
  <si>
    <t>기술 스택 및 배포</t>
  </si>
  <si>
    <t>프론트엔드: Vue.js 3 (Netlify 배포) / 백엔드: FastAPI, SQLite (Render 배포)</t>
  </si>
  <si>
    <t>II. 2항&lt;br&gt;III. 배포 필수</t>
  </si>
  <si>
    <t>요구사항에 맞춘 FE/BE 초기 보일러플레이트 구축 및 CI/CD 파이프라인 선제적 구성 요망.</t>
  </si>
  <si>
    <t>커뮤니티 기능</t>
  </si>
  <si>
    <t>회원가입 없는 익명 CRUD 구현. 암호화 없는 평문 비밀번호(교육 목적)로 수정/삭제 권한 확인</t>
  </si>
  <si>
    <t>III. 커뮤니티 구현</t>
  </si>
  <si>
    <t>타 게시글 권한 탈취 방지를 위한 단위 테스트 작성 필요.</t>
  </si>
  <si>
    <t>챗봇 기능</t>
  </si>
  <si>
    <t>FastAPI POST /api/chat 엔드포인트 개발. JSON 기반 지역 정보 자연어 질의응답 처리 및 UI 구현</t>
  </si>
  <si>
    <t>III. 챗봇 필수</t>
  </si>
  <si>
    <t>LLM 대답 범위 제한을 위한 프롬프트 엔지니어링 제약 조건 설정 필요.</t>
  </si>
  <si>
    <t>납기 및 산출물</t>
  </si>
  <si>
    <t>2026.07.16 15:00까지 소스코드 리포지토리, .db 파일, 배포 URL, 기능명세서, WBS, PPT 등 전 항목 제출</t>
  </si>
  <si>
    <t>II. 3항&lt;br&gt;IV. [참고 1]</t>
  </si>
  <si>
    <t>통합 테스트 및 산출물 패키징을 위한 WBS 상 버퍼 일정 확보 필요.</t>
  </si>
  <si>
    <t>선택</t>
  </si>
  <si>
    <t>부가 기능 추가</t>
  </si>
  <si>
    <t>지도 시각화, 대시보드, 캘린더 등 제시된 목록 중 최소 1개 이상 자율 추가 구현</t>
  </si>
  <si>
    <t>IV. [참고 2]</t>
  </si>
  <si>
    <t>필수 기능 개발 완료 후 공수 대비 시각적 효과가 좋은 기능 우선순위 진행 제안.</t>
  </si>
  <si>
    <t>서울</t>
    <phoneticPr fontId="17" type="noConversion"/>
  </si>
  <si>
    <t>선정 1개 권역 카테고리 게시판 CRUD (목록/상세/작성/수정/삭제, 비밀번호 기반 권한)</t>
  </si>
  <si>
    <t>챗봇 API(POST /api/chat) 및 채팅 UI (대화 히스토리 유지, 모바일 대응, 플로팅)</t>
  </si>
  <si>
    <t>MVP 스코프 확정(지도 기능 포함) 및 라이선스 검토</t>
  </si>
  <si>
    <t>보안 가이드(지정 도구 사용, .env 관리) 공지</t>
  </si>
  <si>
    <t>DB(SQLite) 스키마 설계</t>
  </si>
  <si>
    <t>REST API 및 챗봇 API 엔드포인트 명세</t>
  </si>
  <si>
    <t>커뮤니티 UI 및 지도 시각화 컴포넌트 설계</t>
  </si>
  <si>
    <t>초기 리포지토리 세팅 및 .gitignore(보안) 적용</t>
  </si>
  <si>
    <t>게시판 CRUD 로직 및 권한(평문 비밀번호) 구현</t>
  </si>
  <si>
    <t>지역 정보 연동 챗봇 API 및 Rate Limiting 구현</t>
  </si>
  <si>
    <t>커뮤니티(목록, 상세, 작성) 화면 및 연동 개발</t>
  </si>
  <si>
    <t>플로팅 챗봇 UI 및 지도 API 연동 시각화 구현</t>
  </si>
  <si>
    <t>Render 백엔드 배포 및 DB 영속성(Volume) 설정</t>
  </si>
  <si>
    <t>Netlify 프론트엔드 배포 및 환경변수 설정</t>
  </si>
  <si>
    <t>권한 탈취 방지 및 단위 기능 동작 테스트</t>
  </si>
  <si>
    <t>지도 마커 렌더링 및 E2E 시나리오 통합 테스트</t>
  </si>
  <si>
    <t>기능 명세서 작성(데이터 출처/라이선스 포함)</t>
  </si>
  <si>
    <t>초기 데이터 포함 SQLite .db 파일 추출</t>
  </si>
  <si>
    <t>WBS 업데이트 및 제출용 정리</t>
  </si>
  <si>
    <t>발표 PPT 자료 작성</t>
  </si>
  <si>
    <t>최종 산출물 취합 및 Git Lab 제출 (15:00 마감)</t>
  </si>
  <si>
    <r>
      <t xml:space="preserve">FE -&gt; Vue.js </t>
    </r>
    <r>
      <rPr>
        <sz val="10"/>
        <color rgb="FF222222"/>
        <rFont val="돋움"/>
        <family val="2"/>
        <charset val="129"/>
      </rPr>
      <t>사용</t>
    </r>
    <r>
      <rPr>
        <sz val="10"/>
        <color rgb="FF222222"/>
        <rFont val="Arial"/>
        <family val="2"/>
      </rPr>
      <t xml:space="preserve">, SPA </t>
    </r>
    <r>
      <rPr>
        <sz val="10"/>
        <color rgb="FF222222"/>
        <rFont val="돋움"/>
        <family val="2"/>
        <charset val="129"/>
      </rPr>
      <t>구조</t>
    </r>
    <r>
      <rPr>
        <sz val="10"/>
        <color rgb="FF222222"/>
        <rFont val="Arial"/>
        <family val="2"/>
      </rPr>
      <t xml:space="preserve">/ BE -&gt; FastAPI </t>
    </r>
    <r>
      <rPr>
        <sz val="10"/>
        <color rgb="FF222222"/>
        <rFont val="돋움"/>
        <family val="2"/>
        <charset val="129"/>
      </rPr>
      <t>기반</t>
    </r>
    <r>
      <rPr>
        <sz val="10"/>
        <color rgb="FF222222"/>
        <rFont val="Arial"/>
        <family val="2"/>
      </rPr>
      <t xml:space="preserve"> REST API </t>
    </r>
    <r>
      <rPr>
        <sz val="10"/>
        <color rgb="FF222222"/>
        <rFont val="돋움"/>
        <family val="2"/>
        <charset val="129"/>
      </rPr>
      <t>서버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구축</t>
    </r>
    <r>
      <rPr>
        <sz val="10"/>
        <color rgb="FF222222"/>
        <rFont val="Arial"/>
        <family val="2"/>
      </rPr>
      <t xml:space="preserve">, SQLAlchemy ORM </t>
    </r>
    <r>
      <rPr>
        <sz val="10"/>
        <color rgb="FF222222"/>
        <rFont val="돋움"/>
        <family val="2"/>
        <charset val="129"/>
      </rPr>
      <t>적용</t>
    </r>
    <r>
      <rPr>
        <sz val="10"/>
        <color rgb="FF222222"/>
        <rFont val="Arial"/>
        <family val="2"/>
      </rPr>
      <t xml:space="preserve"> SQLite </t>
    </r>
    <r>
      <rPr>
        <sz val="10"/>
        <color rgb="FF222222"/>
        <rFont val="돋움"/>
        <family val="2"/>
        <charset val="129"/>
      </rPr>
      <t>스키마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설계</t>
    </r>
    <r>
      <rPr>
        <sz val="10"/>
        <color rgb="FF222222"/>
        <rFont val="Arial"/>
        <family val="2"/>
      </rPr>
      <t xml:space="preserve"> (</t>
    </r>
    <r>
      <rPr>
        <sz val="10"/>
        <color rgb="FF222222"/>
        <rFont val="돋움"/>
        <family val="2"/>
        <charset val="129"/>
      </rPr>
      <t>예</t>
    </r>
    <r>
      <rPr>
        <sz val="10"/>
        <color rgb="FF222222"/>
        <rFont val="Arial"/>
        <family val="2"/>
      </rPr>
      <t>: posts, comments, locations, … )</t>
    </r>
    <phoneticPr fontId="17" type="noConversion"/>
  </si>
  <si>
    <r>
      <t>배포</t>
    </r>
    <r>
      <rPr>
        <sz val="10"/>
        <color rgb="FF222222"/>
        <rFont val="돋움"/>
        <family val="2"/>
        <charset val="129"/>
      </rPr>
      <t xml:space="preserve"> 환경 구성 -&gt;  프론트 Netlify/백엔드 Render</t>
    </r>
    <phoneticPr fontId="17" type="noConversion"/>
  </si>
  <si>
    <t>기능명세서(데이터 출처.라이선스 목록 포함) 및 WBS 문서</t>
  </si>
  <si>
    <t>지도 시각화 - Kakao Maps API로 권역 내 관광지.맛집 위치를 지도에 마커로 표시</t>
  </si>
  <si>
    <t>회원가입/로그인, 소셜 인증 등 사용자 계정 체계</t>
  </si>
  <si>
    <t>선정하지 않은 나머지 4개 권역 데이터 및 기능</t>
  </si>
  <si>
    <t>파편화된 서울 지역 공공데이터로 인한 정보 탐색의 어려움 및 사용자 간 익명 기반 로컬 정보(관광, 맛집, 축제 등) 공유 채널 부재</t>
  </si>
  <si>
    <t>서울 방문 계획이 있는 외부 관광객 및 실생활 지역 정보를 소비/생산하는 현지 주민</t>
  </si>
  <si>
    <t>- 납기(2026.07.16 15:00) 내 필수 기능(익명 CRUD, 챗봇) 및 지도 시각화 정상 동작 배포 완료 - 환경변수(.env) 등 보안 가이드라인 위반 0건 - 제공된 외부 API 키 예산 초과 발생 0건</t>
  </si>
  <si>
    <r>
      <rPr>
        <sz val="10"/>
        <color rgb="FF222222"/>
        <rFont val="맑은 고딕"/>
        <family val="3"/>
        <charset val="129"/>
      </rPr>
      <t>선정하지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않은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</si>
  <si>
    <r>
      <t xml:space="preserve">API </t>
    </r>
    <r>
      <rPr>
        <sz val="10"/>
        <color rgb="FF222222"/>
        <rFont val="돋움"/>
        <family val="2"/>
        <charset val="129"/>
      </rPr>
      <t>예산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초과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보안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규정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 xml:space="preserve">위반 - 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과다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호출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제공된</t>
    </r>
    <r>
      <rPr>
        <sz val="10"/>
        <color rgb="FF222222"/>
        <rFont val="Arial"/>
        <family val="2"/>
      </rPr>
      <t xml:space="preserve"> API </t>
    </r>
    <r>
      <rPr>
        <sz val="10"/>
        <color rgb="FF222222"/>
        <rFont val="돋움"/>
        <family val="2"/>
        <charset val="129"/>
      </rPr>
      <t>예산을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초과함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</si>
  <si>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DB 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증발</t>
    </r>
    <r>
      <rPr>
        <sz val="10"/>
        <color rgb="FF222222"/>
        <rFont val="Arial"/>
        <family val="2"/>
      </rPr>
      <t xml:space="preserve"> (Render + SQLite) - Render</t>
    </r>
    <r>
      <rPr>
        <sz val="10"/>
        <color rgb="FF222222"/>
        <rFont val="돋움"/>
        <family val="2"/>
        <charset val="129"/>
      </rPr>
      <t>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기본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디스크는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일시적</t>
    </r>
    <r>
      <rPr>
        <sz val="10"/>
        <color rgb="FF222222"/>
        <rFont val="Arial"/>
        <family val="2"/>
      </rPr>
      <t>(Ephemeral)</t>
    </r>
    <r>
      <rPr>
        <sz val="10"/>
        <color rgb="FF222222"/>
        <rFont val="돋움"/>
        <family val="2"/>
        <charset val="129"/>
      </rPr>
      <t>이므로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서버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재시작이나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재배포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시</t>
    </r>
    <r>
      <rPr>
        <sz val="10"/>
        <color rgb="FF222222"/>
        <rFont val="Arial"/>
        <family val="2"/>
      </rPr>
      <t xml:space="preserve"> SQLite </t>
    </r>
    <r>
      <rPr>
        <sz val="10"/>
        <color rgb="FF222222"/>
        <rFont val="돋움"/>
        <family val="2"/>
        <charset val="129"/>
      </rPr>
      <t>파일</t>
    </r>
    <r>
      <rPr>
        <sz val="10"/>
        <color rgb="FF222222"/>
        <rFont val="Arial"/>
        <family val="2"/>
      </rPr>
      <t>(.db)</t>
    </r>
    <r>
      <rPr>
        <sz val="10"/>
        <color rgb="FF222222"/>
        <rFont val="돋움"/>
        <family val="2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삭제되어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커뮤니티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데이터가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영구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유실됨</t>
    </r>
    <r>
      <rPr>
        <sz val="10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</si>
  <si>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2"/>
        <charset val="129"/>
      </rPr>
      <t>축제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캘린더</t>
    </r>
    <phoneticPr fontId="17" type="noConversion"/>
  </si>
  <si>
    <r>
      <rPr>
        <sz val="10"/>
        <color rgb="FF222222"/>
        <rFont val="맑은 고딕"/>
        <family val="2"/>
        <charset val="129"/>
      </rPr>
      <t>커뮤니티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게시판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추가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기능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2"/>
        <charset val="129"/>
      </rPr>
      <t>조회수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표시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2"/>
        <charset val="129"/>
      </rPr>
      <t>좋아요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2"/>
        <charset val="129"/>
      </rPr>
      <t>게시물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검색, 댓글</t>
    </r>
    <r>
      <rPr>
        <sz val="10"/>
        <color rgb="FF222222"/>
        <rFont val="Arial"/>
        <family val="2"/>
      </rPr>
      <t>)</t>
    </r>
    <phoneticPr fontId="17" type="noConversion"/>
  </si>
  <si>
    <t>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</si>
</sst>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46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돋움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</font>
    <font>
      <b/>
      <sz val="11"/>
      <color theme="1"/>
      <name val="Calibri"/>
      <family val="2"/>
    </font>
    <font>
      <sz val="10"/>
      <color rgb="FF222222"/>
      <name val="돋움"/>
      <family val="2"/>
      <charset val="129"/>
    </font>
    <font>
      <sz val="10"/>
      <color rgb="FF222222"/>
      <name val="Arial"/>
      <family val="2"/>
      <charset val="129"/>
    </font>
  </fonts>
  <fills count="20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ADCFC"/>
        <bgColor rgb="FFCADCFC"/>
      </patternFill>
    </fill>
    <fill>
      <patternFill patternType="solid">
        <fgColor theme="0"/>
        <bgColor rgb="FFFFFFFF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/>
    <xf numFmtId="0" fontId="4" fillId="8" borderId="1" xfId="0" applyFont="1" applyFill="1" applyBorder="1"/>
    <xf numFmtId="0" fontId="4" fillId="10" borderId="1" xfId="0" applyFont="1" applyFill="1" applyBorder="1"/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 readingOrder="1"/>
    </xf>
    <xf numFmtId="0" fontId="1" fillId="8" borderId="7" xfId="0" applyFont="1" applyFill="1" applyBorder="1"/>
    <xf numFmtId="0" fontId="43" fillId="0" borderId="6" xfId="0" applyFont="1" applyBorder="1" applyAlignment="1">
      <alignment vertical="center" wrapText="1" readingOrder="1"/>
    </xf>
    <xf numFmtId="0" fontId="0" fillId="0" borderId="6" xfId="0" applyBorder="1" applyAlignment="1">
      <alignment vertical="center" wrapText="1" readingOrder="1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vertical="center" wrapText="1" readingOrder="1"/>
    </xf>
    <xf numFmtId="0" fontId="1" fillId="4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30" fillId="7" borderId="7" xfId="0" applyFont="1" applyFill="1" applyBorder="1" applyAlignment="1">
      <alignment horizontal="center" vertical="center" wrapText="1"/>
    </xf>
    <xf numFmtId="14" fontId="0" fillId="0" borderId="6" xfId="0" applyNumberFormat="1" applyBorder="1" applyAlignment="1">
      <alignment vertical="center" wrapText="1" readingOrder="1"/>
    </xf>
    <xf numFmtId="0" fontId="33" fillId="16" borderId="7" xfId="0" applyFont="1" applyFill="1" applyBorder="1" applyAlignment="1">
      <alignment horizontal="center" vertical="center" wrapText="1"/>
    </xf>
    <xf numFmtId="0" fontId="29" fillId="7" borderId="7" xfId="0" applyFont="1" applyFill="1" applyBorder="1" applyAlignment="1">
      <alignment horizontal="center" vertical="center" wrapText="1"/>
    </xf>
    <xf numFmtId="176" fontId="35" fillId="16" borderId="7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17" borderId="6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18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0" fillId="0" borderId="0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0" fillId="0" borderId="4" xfId="0" applyBorder="1"/>
    <xf numFmtId="0" fontId="25" fillId="0" borderId="2" xfId="0" applyFont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42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23" fillId="19" borderId="0" xfId="0" applyFont="1" applyFill="1" applyBorder="1" applyAlignment="1">
      <alignment horizontal="center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D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topLeftCell="A7" zoomScaleNormal="100" workbookViewId="0">
      <selection activeCell="B17" sqref="B17:C20"/>
    </sheetView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65" t="s">
        <v>111</v>
      </c>
      <c r="C2" s="65"/>
    </row>
    <row r="4" spans="2:3" ht="19.5" customHeight="1">
      <c r="B4" s="17" t="s">
        <v>112</v>
      </c>
      <c r="C4" s="18" t="s">
        <v>113</v>
      </c>
    </row>
    <row r="5" spans="2:3" ht="36.950000000000003" customHeight="1">
      <c r="B5" s="1" t="s">
        <v>0</v>
      </c>
      <c r="C5" s="18" t="s">
        <v>114</v>
      </c>
    </row>
    <row r="6" spans="2:3" ht="19.5" customHeight="1">
      <c r="B6" s="1" t="s">
        <v>1</v>
      </c>
      <c r="C6" s="3" t="s">
        <v>115</v>
      </c>
    </row>
    <row r="7" spans="2:3" ht="19.5" customHeight="1">
      <c r="B7" s="1" t="s">
        <v>2</v>
      </c>
      <c r="C7" s="3" t="s">
        <v>116</v>
      </c>
    </row>
    <row r="9" spans="2:3" ht="15" customHeight="1">
      <c r="B9" s="61" t="s">
        <v>117</v>
      </c>
      <c r="C9" s="62"/>
    </row>
    <row r="10" spans="2:3" ht="27">
      <c r="B10" s="5" t="s">
        <v>3</v>
      </c>
      <c r="C10" s="18" t="s">
        <v>118</v>
      </c>
    </row>
    <row r="11" spans="2:3" ht="40.5">
      <c r="B11" s="5" t="s">
        <v>119</v>
      </c>
      <c r="C11" s="18" t="s">
        <v>120</v>
      </c>
    </row>
    <row r="12" spans="2:3" ht="33.75" customHeight="1">
      <c r="B12" s="5" t="s">
        <v>121</v>
      </c>
      <c r="C12" s="2" t="s">
        <v>122</v>
      </c>
    </row>
    <row r="13" spans="2:3" ht="33.75" customHeight="1">
      <c r="B13" s="5" t="s">
        <v>123</v>
      </c>
      <c r="C13" s="3" t="s">
        <v>124</v>
      </c>
    </row>
    <row r="14" spans="2:3" ht="33.75" customHeight="1">
      <c r="B14" s="5" t="s">
        <v>125</v>
      </c>
      <c r="C14" s="2" t="s">
        <v>126</v>
      </c>
    </row>
    <row r="15" spans="2:3" ht="33.75" customHeight="1">
      <c r="B15" s="5" t="s">
        <v>4</v>
      </c>
      <c r="C15" s="18" t="s">
        <v>127</v>
      </c>
    </row>
    <row r="17" spans="2:3" ht="15" customHeight="1">
      <c r="B17" s="63" t="s">
        <v>5</v>
      </c>
      <c r="C17" s="64"/>
    </row>
    <row r="18" spans="2:3" ht="27.75" customHeight="1">
      <c r="B18" s="66" t="s">
        <v>128</v>
      </c>
      <c r="C18" s="67"/>
    </row>
    <row r="19" spans="2:3" ht="27.75" customHeight="1">
      <c r="B19" s="59" t="s">
        <v>7</v>
      </c>
      <c r="C19" s="60"/>
    </row>
    <row r="20" spans="2:3" ht="27.75" customHeight="1">
      <c r="B20" s="59" t="s">
        <v>8</v>
      </c>
      <c r="C20" s="60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F13"/>
  <sheetViews>
    <sheetView showGridLines="0" topLeftCell="A4" zoomScaleNormal="100" workbookViewId="0">
      <selection activeCell="D6" sqref="D6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57.140625" customWidth="1"/>
    <col min="5" max="6" width="30" customWidth="1"/>
  </cols>
  <sheetData>
    <row r="2" spans="2:6" ht="30" customHeight="1">
      <c r="B2" s="68" t="s">
        <v>9</v>
      </c>
      <c r="C2" s="69"/>
      <c r="D2" s="69"/>
      <c r="E2" s="69"/>
      <c r="F2" s="69"/>
    </row>
    <row r="4" spans="2:6" ht="19.5" customHeight="1">
      <c r="B4" s="7" t="s">
        <v>10</v>
      </c>
      <c r="C4" s="7" t="s">
        <v>11</v>
      </c>
      <c r="D4" s="7" t="s">
        <v>12</v>
      </c>
      <c r="E4" s="7" t="s">
        <v>13</v>
      </c>
      <c r="F4" s="8" t="s">
        <v>14</v>
      </c>
    </row>
    <row r="5" spans="2:6" ht="129.75" customHeight="1">
      <c r="B5" s="23" t="s">
        <v>147</v>
      </c>
      <c r="C5" s="24" t="s">
        <v>15</v>
      </c>
      <c r="D5" s="18" t="s">
        <v>142</v>
      </c>
      <c r="E5" s="25" t="s">
        <v>143</v>
      </c>
      <c r="F5" s="24" t="s">
        <v>16</v>
      </c>
    </row>
    <row r="6" spans="2:6" ht="129.75" customHeight="1">
      <c r="B6" s="23" t="s">
        <v>148</v>
      </c>
      <c r="C6" s="24" t="s">
        <v>17</v>
      </c>
      <c r="D6" s="18" t="s">
        <v>144</v>
      </c>
      <c r="E6" s="24" t="s">
        <v>18</v>
      </c>
      <c r="F6" s="24" t="s">
        <v>19</v>
      </c>
    </row>
    <row r="7" spans="2:6" ht="129.75" customHeight="1">
      <c r="B7" s="23" t="s">
        <v>20</v>
      </c>
      <c r="C7" s="6" t="s">
        <v>21</v>
      </c>
      <c r="D7" s="22" t="s">
        <v>145</v>
      </c>
      <c r="E7" s="6" t="s">
        <v>22</v>
      </c>
      <c r="F7" s="6" t="s">
        <v>23</v>
      </c>
    </row>
    <row r="8" spans="2:6" ht="129.75" customHeight="1">
      <c r="B8" s="26" t="s">
        <v>149</v>
      </c>
      <c r="C8" s="6" t="s">
        <v>24</v>
      </c>
      <c r="D8" s="18" t="s">
        <v>146</v>
      </c>
      <c r="E8" s="24" t="s">
        <v>25</v>
      </c>
      <c r="F8" s="6" t="s">
        <v>26</v>
      </c>
    </row>
    <row r="9" spans="2:6" ht="14.1" customHeight="1"/>
    <row r="10" spans="2:6" ht="15" customHeight="1">
      <c r="B10" s="70" t="s">
        <v>129</v>
      </c>
      <c r="C10" s="71"/>
      <c r="D10" s="71"/>
      <c r="E10" s="71"/>
      <c r="F10" s="62"/>
    </row>
    <row r="11" spans="2:6" ht="24" customHeight="1">
      <c r="B11" s="6" t="s">
        <v>6</v>
      </c>
      <c r="C11" s="72" t="s">
        <v>130</v>
      </c>
      <c r="D11" s="71"/>
      <c r="E11" s="71"/>
      <c r="F11" s="71"/>
    </row>
    <row r="12" spans="2:6" ht="24" customHeight="1">
      <c r="B12" s="6" t="s">
        <v>6</v>
      </c>
      <c r="C12" s="72" t="s">
        <v>131</v>
      </c>
      <c r="D12" s="71"/>
      <c r="E12" s="71"/>
      <c r="F12" s="71"/>
    </row>
    <row r="13" spans="2:6" ht="24" customHeight="1">
      <c r="B13" s="6" t="s">
        <v>6</v>
      </c>
      <c r="C13" s="72" t="s">
        <v>132</v>
      </c>
      <c r="D13" s="71"/>
      <c r="E13" s="71"/>
      <c r="F13" s="71"/>
    </row>
  </sheetData>
  <mergeCells count="5">
    <mergeCell ref="B2:F2"/>
    <mergeCell ref="B10:F10"/>
    <mergeCell ref="C11:F11"/>
    <mergeCell ref="C12:F12"/>
    <mergeCell ref="C13:F13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23"/>
  <sheetViews>
    <sheetView showGridLines="0" zoomScaleNormal="100" workbookViewId="0">
      <selection activeCell="F4" sqref="F4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73" t="s">
        <v>27</v>
      </c>
      <c r="C2" s="69"/>
      <c r="D2" s="69"/>
      <c r="E2" s="69"/>
      <c r="F2" s="69"/>
    </row>
    <row r="3" spans="2:6" ht="28.35" customHeight="1">
      <c r="B3" s="74" t="s">
        <v>141</v>
      </c>
      <c r="C3" s="71"/>
      <c r="D3" s="71"/>
      <c r="E3" s="71"/>
      <c r="F3" s="62"/>
    </row>
    <row r="4" spans="2:6" ht="35.65" customHeight="1">
      <c r="B4" s="9" t="s">
        <v>28</v>
      </c>
      <c r="C4" s="9" t="s">
        <v>29</v>
      </c>
      <c r="D4" s="9" t="s">
        <v>30</v>
      </c>
      <c r="E4" s="19" t="s">
        <v>133</v>
      </c>
      <c r="F4" s="9" t="s">
        <v>31</v>
      </c>
    </row>
    <row r="5" spans="2:6" ht="15" customHeight="1">
      <c r="B5" s="32" t="s">
        <v>32</v>
      </c>
      <c r="C5" s="32"/>
      <c r="D5" s="32"/>
      <c r="E5" s="32"/>
      <c r="F5" s="32"/>
    </row>
    <row r="6" spans="2:6" ht="78.75" customHeight="1">
      <c r="B6" s="33" t="s">
        <v>174</v>
      </c>
      <c r="C6" s="33" t="s">
        <v>173</v>
      </c>
      <c r="D6" s="34" t="s">
        <v>175</v>
      </c>
      <c r="E6" s="34" t="s">
        <v>176</v>
      </c>
      <c r="F6" s="34" t="s">
        <v>177</v>
      </c>
    </row>
    <row r="7" spans="2:6" ht="78.75" customHeight="1">
      <c r="B7" s="33" t="s">
        <v>174</v>
      </c>
      <c r="C7" s="33" t="s">
        <v>178</v>
      </c>
      <c r="D7" s="34" t="s">
        <v>179</v>
      </c>
      <c r="E7" s="34" t="s">
        <v>180</v>
      </c>
      <c r="F7" s="34" t="s">
        <v>181</v>
      </c>
    </row>
    <row r="8" spans="2:6" ht="78.75" customHeight="1">
      <c r="B8" s="33" t="s">
        <v>174</v>
      </c>
      <c r="C8" s="33" t="s">
        <v>182</v>
      </c>
      <c r="D8" s="34" t="s">
        <v>183</v>
      </c>
      <c r="E8" s="34" t="s">
        <v>184</v>
      </c>
      <c r="F8" s="34" t="s">
        <v>185</v>
      </c>
    </row>
    <row r="9" spans="2:6" ht="78.75" customHeight="1">
      <c r="B9" s="33" t="s">
        <v>174</v>
      </c>
      <c r="C9" s="33" t="s">
        <v>186</v>
      </c>
      <c r="D9" s="34" t="s">
        <v>187</v>
      </c>
      <c r="E9" s="34" t="s">
        <v>188</v>
      </c>
      <c r="F9" s="34" t="s">
        <v>189</v>
      </c>
    </row>
    <row r="10" spans="2:6" ht="78.75" customHeight="1">
      <c r="B10" s="33" t="s">
        <v>174</v>
      </c>
      <c r="C10" s="33" t="s">
        <v>190</v>
      </c>
      <c r="D10" s="34" t="s">
        <v>191</v>
      </c>
      <c r="E10" s="34" t="s">
        <v>192</v>
      </c>
      <c r="F10" s="34" t="s">
        <v>193</v>
      </c>
    </row>
    <row r="11" spans="2:6" ht="78.75" customHeight="1">
      <c r="B11" s="33" t="s">
        <v>194</v>
      </c>
      <c r="C11" s="33" t="s">
        <v>195</v>
      </c>
      <c r="D11" s="34" t="s">
        <v>196</v>
      </c>
      <c r="E11" s="34" t="s">
        <v>197</v>
      </c>
      <c r="F11" s="34" t="s">
        <v>198</v>
      </c>
    </row>
    <row r="12" spans="2:6" ht="78.75" customHeight="1">
      <c r="B12" s="33" t="s">
        <v>194</v>
      </c>
      <c r="C12" s="33" t="s">
        <v>199</v>
      </c>
      <c r="D12" s="34" t="s">
        <v>200</v>
      </c>
      <c r="E12" s="34" t="s">
        <v>201</v>
      </c>
      <c r="F12" s="34" t="s">
        <v>202</v>
      </c>
    </row>
    <row r="13" spans="2:6" ht="78.75" customHeight="1">
      <c r="B13" s="33" t="s">
        <v>194</v>
      </c>
      <c r="C13" s="33" t="s">
        <v>203</v>
      </c>
      <c r="D13" s="34" t="s">
        <v>204</v>
      </c>
      <c r="E13" s="34" t="s">
        <v>205</v>
      </c>
      <c r="F13" s="34" t="s">
        <v>206</v>
      </c>
    </row>
    <row r="14" spans="2:6" ht="78.75" customHeight="1">
      <c r="B14" s="33" t="s">
        <v>194</v>
      </c>
      <c r="C14" s="33" t="s">
        <v>207</v>
      </c>
      <c r="D14" s="34" t="s">
        <v>208</v>
      </c>
      <c r="E14" s="34" t="s">
        <v>209</v>
      </c>
      <c r="F14" s="34" t="s">
        <v>210</v>
      </c>
    </row>
    <row r="15" spans="2:6" ht="78.75" customHeight="1">
      <c r="B15" s="33" t="s">
        <v>211</v>
      </c>
      <c r="C15" s="33" t="s">
        <v>212</v>
      </c>
      <c r="D15" s="34" t="s">
        <v>213</v>
      </c>
      <c r="E15" s="34" t="s">
        <v>214</v>
      </c>
      <c r="F15" s="34" t="s">
        <v>215</v>
      </c>
    </row>
    <row r="16" spans="2:6" ht="30" customHeight="1">
      <c r="B16" s="35"/>
      <c r="C16" s="36"/>
      <c r="D16" s="36"/>
      <c r="E16" s="36"/>
      <c r="F16" s="36"/>
    </row>
    <row r="17" spans="2:6" ht="30" customHeight="1">
      <c r="B17" s="35"/>
      <c r="C17" s="36"/>
      <c r="D17" s="36"/>
      <c r="E17" s="36"/>
      <c r="F17" s="36"/>
    </row>
    <row r="18" spans="2:6" ht="30" customHeight="1">
      <c r="B18" s="35"/>
      <c r="C18" s="36"/>
      <c r="D18" s="36"/>
      <c r="E18" s="36"/>
      <c r="F18" s="36"/>
    </row>
    <row r="19" spans="2:6" ht="30" customHeight="1">
      <c r="B19" s="35"/>
      <c r="C19" s="36"/>
      <c r="D19" s="36"/>
      <c r="E19" s="36"/>
      <c r="F19" s="36"/>
    </row>
    <row r="20" spans="2:6" ht="30" customHeight="1">
      <c r="B20" s="35"/>
      <c r="C20" s="36"/>
      <c r="D20" s="36"/>
      <c r="E20" s="36"/>
      <c r="F20" s="36"/>
    </row>
    <row r="21" spans="2:6" ht="30" customHeight="1">
      <c r="B21" s="35"/>
      <c r="C21" s="36"/>
      <c r="D21" s="36"/>
      <c r="E21" s="36"/>
      <c r="F21" s="36"/>
    </row>
    <row r="22" spans="2:6" ht="30" customHeight="1">
      <c r="B22" s="35"/>
      <c r="C22" s="36"/>
      <c r="D22" s="36"/>
      <c r="E22" s="36"/>
      <c r="F22" s="36"/>
    </row>
    <row r="23" spans="2:6" ht="30" customHeight="1">
      <c r="B23" s="35"/>
      <c r="C23" s="36"/>
      <c r="D23" s="36"/>
      <c r="E23" s="36"/>
      <c r="F23" s="36"/>
    </row>
  </sheetData>
  <mergeCells count="2">
    <mergeCell ref="B2:F2"/>
    <mergeCell ref="B3:F3"/>
  </mergeCells>
  <phoneticPr fontId="17" type="noConversion"/>
  <dataValidations count="1">
    <dataValidation type="list" allowBlank="1" sqref="B16:B23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5"/>
  <sheetViews>
    <sheetView showGridLines="0" zoomScaleNormal="100" workbookViewId="0">
      <selection activeCell="S6" sqref="S6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68" t="s">
        <v>33</v>
      </c>
      <c r="C2" s="69"/>
      <c r="D2" s="69"/>
      <c r="E2" s="69"/>
      <c r="F2" s="69"/>
      <c r="G2" s="69"/>
      <c r="H2" s="69"/>
    </row>
    <row r="3" spans="2:8" ht="72.400000000000006" customHeight="1">
      <c r="B3" s="75" t="s">
        <v>135</v>
      </c>
      <c r="C3" s="71"/>
      <c r="D3" s="71"/>
      <c r="E3" s="71"/>
      <c r="F3" s="71"/>
      <c r="G3" s="71"/>
      <c r="H3" s="62"/>
    </row>
    <row r="4" spans="2:8" ht="18" customHeight="1">
      <c r="B4" s="76" t="s">
        <v>34</v>
      </c>
      <c r="C4" s="71"/>
      <c r="D4" s="71"/>
      <c r="E4" s="71"/>
      <c r="F4" s="71"/>
      <c r="G4" s="71"/>
      <c r="H4" s="62"/>
    </row>
    <row r="5" spans="2:8" ht="31.5" customHeight="1">
      <c r="B5" s="11" t="s">
        <v>35</v>
      </c>
      <c r="C5" s="11" t="s">
        <v>36</v>
      </c>
      <c r="D5" s="21" t="s">
        <v>37</v>
      </c>
      <c r="E5" s="12" t="s">
        <v>38</v>
      </c>
      <c r="F5" s="12" t="s">
        <v>39</v>
      </c>
      <c r="G5" s="11" t="s">
        <v>40</v>
      </c>
      <c r="H5" s="12" t="s">
        <v>41</v>
      </c>
    </row>
    <row r="6" spans="2:8" ht="33.75" customHeight="1">
      <c r="B6" s="30" t="s">
        <v>153</v>
      </c>
      <c r="C6" s="29" t="s">
        <v>154</v>
      </c>
      <c r="D6" s="27">
        <v>2</v>
      </c>
      <c r="E6" s="27">
        <v>5</v>
      </c>
      <c r="F6" s="27">
        <v>4</v>
      </c>
      <c r="G6" s="27">
        <f t="shared" ref="G6:G13" si="0">IF(OR(E6="",F6=""),"",E6*F6*2)</f>
        <v>40</v>
      </c>
      <c r="H6" s="27" t="s">
        <v>169</v>
      </c>
    </row>
    <row r="7" spans="2:8" ht="33.75" customHeight="1">
      <c r="B7" s="30" t="s">
        <v>155</v>
      </c>
      <c r="C7" s="29" t="s">
        <v>156</v>
      </c>
      <c r="D7" s="27">
        <v>4</v>
      </c>
      <c r="E7" s="27">
        <v>3</v>
      </c>
      <c r="F7" s="27">
        <v>4</v>
      </c>
      <c r="G7" s="27">
        <f t="shared" si="0"/>
        <v>24</v>
      </c>
      <c r="H7" s="27" t="s">
        <v>171</v>
      </c>
    </row>
    <row r="8" spans="2:8" ht="33.75" customHeight="1">
      <c r="B8" s="30" t="s">
        <v>157</v>
      </c>
      <c r="C8" s="29" t="s">
        <v>158</v>
      </c>
      <c r="D8" s="27">
        <v>2</v>
      </c>
      <c r="E8" s="27">
        <v>4</v>
      </c>
      <c r="F8" s="27">
        <v>3</v>
      </c>
      <c r="G8" s="27">
        <f t="shared" si="0"/>
        <v>24</v>
      </c>
      <c r="H8" s="27" t="s">
        <v>171</v>
      </c>
    </row>
    <row r="9" spans="2:8" ht="33.75" customHeight="1">
      <c r="B9" s="30" t="s">
        <v>159</v>
      </c>
      <c r="C9" s="28" t="s">
        <v>160</v>
      </c>
      <c r="D9" s="27">
        <v>5</v>
      </c>
      <c r="E9" s="27">
        <v>2</v>
      </c>
      <c r="F9" s="27">
        <v>5</v>
      </c>
      <c r="G9" s="27">
        <f t="shared" si="0"/>
        <v>20</v>
      </c>
      <c r="H9" s="27" t="s">
        <v>171</v>
      </c>
    </row>
    <row r="10" spans="2:8" ht="33.75" customHeight="1">
      <c r="B10" s="30" t="s">
        <v>161</v>
      </c>
      <c r="C10" s="28" t="s">
        <v>162</v>
      </c>
      <c r="D10" s="6">
        <v>2</v>
      </c>
      <c r="E10" s="6">
        <v>3</v>
      </c>
      <c r="F10" s="6">
        <v>3</v>
      </c>
      <c r="G10" s="6">
        <f t="shared" si="0"/>
        <v>18</v>
      </c>
      <c r="H10" s="6" t="s">
        <v>171</v>
      </c>
    </row>
    <row r="11" spans="2:8" ht="33.75" customHeight="1">
      <c r="B11" s="30" t="s">
        <v>163</v>
      </c>
      <c r="C11" s="29" t="s">
        <v>164</v>
      </c>
      <c r="D11" s="6">
        <v>5</v>
      </c>
      <c r="E11" s="6">
        <v>2</v>
      </c>
      <c r="F11" s="6">
        <v>4</v>
      </c>
      <c r="G11" s="6">
        <f t="shared" si="0"/>
        <v>16</v>
      </c>
      <c r="H11" s="6" t="s">
        <v>171</v>
      </c>
    </row>
    <row r="12" spans="2:8" ht="33.75" customHeight="1">
      <c r="B12" s="30" t="s">
        <v>165</v>
      </c>
      <c r="C12" s="29" t="s">
        <v>166</v>
      </c>
      <c r="D12" s="6">
        <v>2</v>
      </c>
      <c r="E12" s="6">
        <v>2</v>
      </c>
      <c r="F12" s="6">
        <v>2</v>
      </c>
      <c r="G12" s="6">
        <f t="shared" si="0"/>
        <v>8</v>
      </c>
      <c r="H12" s="6" t="s">
        <v>170</v>
      </c>
    </row>
    <row r="13" spans="2:8" ht="33.75" customHeight="1">
      <c r="B13" s="30" t="s">
        <v>167</v>
      </c>
      <c r="C13" s="28" t="s">
        <v>168</v>
      </c>
      <c r="D13" s="6">
        <v>3</v>
      </c>
      <c r="E13" s="6">
        <v>3</v>
      </c>
      <c r="F13" s="6">
        <v>2</v>
      </c>
      <c r="G13" s="6">
        <f t="shared" si="0"/>
        <v>12</v>
      </c>
      <c r="H13" s="6" t="s">
        <v>170</v>
      </c>
    </row>
    <row r="15" spans="2:8" ht="118.7" customHeight="1">
      <c r="B15" s="20" t="s">
        <v>134</v>
      </c>
      <c r="C15" s="77" t="s">
        <v>172</v>
      </c>
      <c r="D15" s="78"/>
      <c r="E15" s="78"/>
      <c r="F15" s="78"/>
      <c r="G15" s="78"/>
      <c r="H15" s="79"/>
    </row>
  </sheetData>
  <mergeCells count="4">
    <mergeCell ref="B3:H3"/>
    <mergeCell ref="B2:H2"/>
    <mergeCell ref="B4:H4"/>
    <mergeCell ref="C15:H15"/>
  </mergeCells>
  <phoneticPr fontId="17" type="noConversion"/>
  <conditionalFormatting sqref="G6:G13">
    <cfRule type="expression" dxfId="1" priority="2">
      <formula>AND(G6&lt;&gt;"",G6&gt;=32)</formula>
    </cfRule>
  </conditionalFormatting>
  <dataValidations count="2">
    <dataValidation type="list" allowBlank="1" sqref="E6:F13" xr:uid="{00000000-0002-0000-0300-000000000000}">
      <formula1>"1,2,3,4,5"</formula1>
      <formula2>0</formula2>
    </dataValidation>
    <dataValidation type="list" allowBlank="1" sqref="H6:H13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9"/>
  <sheetViews>
    <sheetView showGridLines="0" zoomScaleNormal="100" workbookViewId="0">
      <selection activeCell="F18" sqref="F18"/>
    </sheetView>
  </sheetViews>
  <sheetFormatPr defaultColWidth="8.7109375" defaultRowHeight="15"/>
  <cols>
    <col min="1" max="1" width="4" customWidth="1"/>
    <col min="2" max="2" width="16" customWidth="1"/>
    <col min="3" max="3" width="79.85546875" customWidth="1"/>
    <col min="4" max="4" width="4" customWidth="1"/>
  </cols>
  <sheetData>
    <row r="2" spans="2:3" ht="30" customHeight="1">
      <c r="B2" s="73" t="s">
        <v>42</v>
      </c>
      <c r="C2" s="69"/>
    </row>
    <row r="3" spans="2:3" ht="18" customHeight="1">
      <c r="B3" s="84" t="s">
        <v>43</v>
      </c>
      <c r="C3" s="62"/>
    </row>
    <row r="4" spans="2:3" ht="30" customHeight="1">
      <c r="B4" s="1" t="s">
        <v>44</v>
      </c>
      <c r="C4" s="57" t="s">
        <v>216</v>
      </c>
    </row>
    <row r="5" spans="2:3" ht="30" customHeight="1">
      <c r="B5" s="1" t="s">
        <v>45</v>
      </c>
      <c r="C5" s="56" t="s">
        <v>244</v>
      </c>
    </row>
    <row r="6" spans="2:3" ht="30" customHeight="1">
      <c r="B6" s="1" t="s">
        <v>46</v>
      </c>
      <c r="C6" s="56" t="s">
        <v>245</v>
      </c>
    </row>
    <row r="7" spans="2:3" ht="30" customHeight="1">
      <c r="B7" s="1" t="s">
        <v>47</v>
      </c>
      <c r="C7" s="56" t="s">
        <v>246</v>
      </c>
    </row>
    <row r="9" spans="2:3" ht="15" customHeight="1">
      <c r="B9" s="13" t="s">
        <v>48</v>
      </c>
      <c r="C9" s="13"/>
    </row>
    <row r="10" spans="2:3" ht="25.5" customHeight="1">
      <c r="B10" s="59" t="s">
        <v>217</v>
      </c>
      <c r="C10" s="60"/>
    </row>
    <row r="11" spans="2:3" ht="25.5" customHeight="1">
      <c r="B11" s="59" t="s">
        <v>218</v>
      </c>
      <c r="C11" s="60"/>
    </row>
    <row r="12" spans="2:3" ht="25.5" customHeight="1">
      <c r="B12" s="66" t="s">
        <v>238</v>
      </c>
      <c r="C12" s="67"/>
    </row>
    <row r="13" spans="2:3" ht="25.5" customHeight="1">
      <c r="B13" s="66" t="s">
        <v>239</v>
      </c>
      <c r="C13" s="67"/>
    </row>
    <row r="14" spans="2:3" ht="25.5" customHeight="1">
      <c r="B14" s="59" t="s">
        <v>240</v>
      </c>
      <c r="C14" s="60"/>
    </row>
    <row r="16" spans="2:3" ht="15" customHeight="1">
      <c r="B16" s="14" t="s">
        <v>49</v>
      </c>
      <c r="C16" s="10"/>
    </row>
    <row r="17" spans="2:3" ht="25.5" customHeight="1">
      <c r="B17" s="59" t="s">
        <v>241</v>
      </c>
      <c r="C17" s="60"/>
    </row>
    <row r="18" spans="2:3" ht="25.5" customHeight="1">
      <c r="B18" s="83" t="s">
        <v>251</v>
      </c>
      <c r="C18" s="67"/>
    </row>
    <row r="19" spans="2:3" ht="25.5" customHeight="1">
      <c r="B19" s="83" t="s">
        <v>250</v>
      </c>
      <c r="C19" s="67"/>
    </row>
    <row r="21" spans="2:3" ht="15" customHeight="1">
      <c r="B21" s="15" t="s">
        <v>50</v>
      </c>
      <c r="C21" s="15"/>
    </row>
    <row r="22" spans="2:3" ht="25.5" customHeight="1">
      <c r="B22" s="59" t="s">
        <v>242</v>
      </c>
      <c r="C22" s="60"/>
    </row>
    <row r="23" spans="2:3" ht="25.5" customHeight="1">
      <c r="B23" s="59" t="s">
        <v>243</v>
      </c>
      <c r="C23" s="60"/>
    </row>
    <row r="24" spans="2:3" ht="25.5" customHeight="1">
      <c r="B24" s="82" t="s">
        <v>247</v>
      </c>
      <c r="C24" s="60"/>
    </row>
    <row r="26" spans="2:3" ht="15" customHeight="1">
      <c r="B26" s="4" t="s">
        <v>51</v>
      </c>
      <c r="C26" s="4"/>
    </row>
    <row r="27" spans="2:3" ht="25.5" customHeight="1">
      <c r="B27" s="66" t="s">
        <v>248</v>
      </c>
      <c r="C27" s="67"/>
    </row>
    <row r="28" spans="2:3" ht="25.5" customHeight="1">
      <c r="B28" s="66" t="s">
        <v>249</v>
      </c>
      <c r="C28" s="67"/>
    </row>
    <row r="29" spans="2:3" ht="25.5" customHeight="1">
      <c r="B29" s="80"/>
      <c r="C29" s="81"/>
    </row>
  </sheetData>
  <mergeCells count="16">
    <mergeCell ref="B3:C3"/>
    <mergeCell ref="B2:C2"/>
    <mergeCell ref="B12:C12"/>
    <mergeCell ref="B10:C10"/>
    <mergeCell ref="B11:C11"/>
    <mergeCell ref="B13:C13"/>
    <mergeCell ref="B18:C18"/>
    <mergeCell ref="B19:C19"/>
    <mergeCell ref="B14:C14"/>
    <mergeCell ref="B17:C17"/>
    <mergeCell ref="B29:C29"/>
    <mergeCell ref="B27:C27"/>
    <mergeCell ref="B28:C28"/>
    <mergeCell ref="B22:C22"/>
    <mergeCell ref="B23:C23"/>
    <mergeCell ref="B24:C24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T33"/>
  <sheetViews>
    <sheetView showGridLines="0" tabSelected="1" topLeftCell="A4" zoomScaleNormal="100" workbookViewId="0">
      <selection activeCell="T21" sqref="T21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11.7109375" customWidth="1"/>
    <col min="7" max="7" width="13.140625" customWidth="1"/>
    <col min="8" max="9" width="8" customWidth="1"/>
    <col min="10" max="10" width="7.42578125" customWidth="1"/>
    <col min="11" max="11" width="17.5703125" customWidth="1"/>
    <col min="12" max="12" width="16.85546875" customWidth="1"/>
    <col min="13" max="13" width="21.5703125" customWidth="1"/>
  </cols>
  <sheetData>
    <row r="2" spans="2:13" ht="27.75" customHeight="1">
      <c r="B2" s="99" t="s">
        <v>52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2:13" ht="79.7" customHeight="1">
      <c r="B3" s="98" t="s">
        <v>136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62"/>
    </row>
    <row r="4" spans="2:13" ht="25.5" customHeight="1">
      <c r="B4" s="16" t="s">
        <v>53</v>
      </c>
      <c r="C4" s="12" t="s">
        <v>54</v>
      </c>
      <c r="D4" s="46" t="s">
        <v>55</v>
      </c>
      <c r="E4" s="46" t="s">
        <v>56</v>
      </c>
      <c r="F4" s="47" t="s">
        <v>139</v>
      </c>
      <c r="G4" s="47" t="s">
        <v>140</v>
      </c>
      <c r="H4" s="49" t="s">
        <v>57</v>
      </c>
      <c r="I4" s="50" t="s">
        <v>138</v>
      </c>
      <c r="J4" s="46" t="s">
        <v>58</v>
      </c>
      <c r="K4" s="51">
        <v>1</v>
      </c>
      <c r="L4" s="51">
        <v>2</v>
      </c>
      <c r="M4" s="51">
        <v>3</v>
      </c>
    </row>
    <row r="5" spans="2:13" ht="30" customHeight="1">
      <c r="B5" s="6">
        <v>1</v>
      </c>
      <c r="C5" s="40" t="s">
        <v>59</v>
      </c>
      <c r="D5" s="34" t="s">
        <v>219</v>
      </c>
      <c r="E5" s="34" t="s">
        <v>150</v>
      </c>
      <c r="F5" s="48">
        <v>46217</v>
      </c>
      <c r="G5" s="48">
        <v>46217</v>
      </c>
      <c r="H5" s="52">
        <v>1</v>
      </c>
      <c r="I5" s="52">
        <v>0</v>
      </c>
      <c r="J5" s="52" t="s">
        <v>252</v>
      </c>
      <c r="K5" s="53"/>
      <c r="L5" s="54"/>
      <c r="M5" s="54"/>
    </row>
    <row r="6" spans="2:13" ht="30" customHeight="1">
      <c r="B6" s="6">
        <v>2</v>
      </c>
      <c r="C6" s="40" t="s">
        <v>59</v>
      </c>
      <c r="D6" s="34" t="s">
        <v>220</v>
      </c>
      <c r="E6" s="34" t="s">
        <v>150</v>
      </c>
      <c r="F6" s="48">
        <v>46217</v>
      </c>
      <c r="G6" s="48">
        <v>46217</v>
      </c>
      <c r="H6" s="52">
        <v>1</v>
      </c>
      <c r="I6" s="52">
        <v>0</v>
      </c>
      <c r="J6" s="52" t="s">
        <v>252</v>
      </c>
      <c r="K6" s="53"/>
      <c r="L6" s="54"/>
      <c r="M6" s="54"/>
    </row>
    <row r="7" spans="2:13" ht="30" customHeight="1">
      <c r="B7" s="6">
        <v>3</v>
      </c>
      <c r="C7" s="41" t="s">
        <v>60</v>
      </c>
      <c r="D7" s="34" t="s">
        <v>221</v>
      </c>
      <c r="E7" s="34" t="s">
        <v>151</v>
      </c>
      <c r="F7" s="48">
        <v>46217</v>
      </c>
      <c r="G7" s="48">
        <v>46217</v>
      </c>
      <c r="H7" s="52">
        <v>1</v>
      </c>
      <c r="I7" s="52">
        <v>0</v>
      </c>
      <c r="J7" s="52" t="s">
        <v>252</v>
      </c>
      <c r="K7" s="53"/>
      <c r="L7" s="54"/>
      <c r="M7" s="54"/>
    </row>
    <row r="8" spans="2:13" ht="30" customHeight="1">
      <c r="B8" s="6">
        <v>4</v>
      </c>
      <c r="C8" s="41" t="s">
        <v>60</v>
      </c>
      <c r="D8" s="34" t="s">
        <v>222</v>
      </c>
      <c r="E8" s="34" t="s">
        <v>151</v>
      </c>
      <c r="F8" s="48">
        <v>46217</v>
      </c>
      <c r="G8" s="48">
        <v>46217</v>
      </c>
      <c r="H8" s="52">
        <v>1</v>
      </c>
      <c r="I8" s="52">
        <v>0</v>
      </c>
      <c r="J8" s="52" t="s">
        <v>252</v>
      </c>
      <c r="K8" s="53"/>
      <c r="L8" s="54"/>
      <c r="M8" s="54"/>
    </row>
    <row r="9" spans="2:13" ht="30" customHeight="1">
      <c r="B9" s="6">
        <v>5</v>
      </c>
      <c r="C9" s="41" t="s">
        <v>60</v>
      </c>
      <c r="D9" s="34" t="s">
        <v>223</v>
      </c>
      <c r="E9" s="34" t="s">
        <v>152</v>
      </c>
      <c r="F9" s="48">
        <v>46217</v>
      </c>
      <c r="G9" s="48">
        <v>46217</v>
      </c>
      <c r="H9" s="52">
        <v>1</v>
      </c>
      <c r="I9" s="52">
        <v>0</v>
      </c>
      <c r="J9" s="52" t="s">
        <v>252</v>
      </c>
      <c r="K9" s="53"/>
      <c r="L9" s="54"/>
      <c r="M9" s="54"/>
    </row>
    <row r="10" spans="2:13" ht="30" customHeight="1">
      <c r="B10" s="6">
        <v>6</v>
      </c>
      <c r="C10" s="42" t="s">
        <v>61</v>
      </c>
      <c r="D10" s="34" t="s">
        <v>224</v>
      </c>
      <c r="E10" s="34" t="s">
        <v>150</v>
      </c>
      <c r="F10" s="48">
        <v>46218</v>
      </c>
      <c r="G10" s="48">
        <v>46218</v>
      </c>
      <c r="H10" s="52">
        <v>1</v>
      </c>
      <c r="I10" s="52">
        <v>0</v>
      </c>
      <c r="J10" s="52" t="s">
        <v>252</v>
      </c>
      <c r="K10" s="54"/>
      <c r="L10" s="53"/>
      <c r="M10" s="54"/>
    </row>
    <row r="11" spans="2:13" ht="30" customHeight="1">
      <c r="B11" s="6">
        <v>7</v>
      </c>
      <c r="C11" s="42" t="s">
        <v>61</v>
      </c>
      <c r="D11" s="34" t="s">
        <v>225</v>
      </c>
      <c r="E11" s="34" t="s">
        <v>151</v>
      </c>
      <c r="F11" s="48">
        <v>46218</v>
      </c>
      <c r="G11" s="48">
        <v>46218</v>
      </c>
      <c r="H11" s="52">
        <v>1</v>
      </c>
      <c r="I11" s="52">
        <v>0</v>
      </c>
      <c r="J11" s="52" t="s">
        <v>252</v>
      </c>
      <c r="K11" s="54"/>
      <c r="L11" s="53"/>
      <c r="M11" s="54"/>
    </row>
    <row r="12" spans="2:13" ht="30" customHeight="1">
      <c r="B12" s="6">
        <v>8</v>
      </c>
      <c r="C12" s="42" t="s">
        <v>61</v>
      </c>
      <c r="D12" s="34" t="s">
        <v>226</v>
      </c>
      <c r="E12" s="34" t="s">
        <v>151</v>
      </c>
      <c r="F12" s="48">
        <v>46218</v>
      </c>
      <c r="G12" s="48">
        <v>46218</v>
      </c>
      <c r="H12" s="52">
        <v>1</v>
      </c>
      <c r="I12" s="52">
        <v>0</v>
      </c>
      <c r="J12" s="52" t="s">
        <v>252</v>
      </c>
      <c r="K12" s="54"/>
      <c r="L12" s="53"/>
      <c r="M12" s="54"/>
    </row>
    <row r="13" spans="2:13" ht="30" customHeight="1">
      <c r="B13" s="6">
        <v>9</v>
      </c>
      <c r="C13" s="42" t="s">
        <v>61</v>
      </c>
      <c r="D13" s="34" t="s">
        <v>227</v>
      </c>
      <c r="E13" s="34" t="s">
        <v>152</v>
      </c>
      <c r="F13" s="48">
        <v>46218</v>
      </c>
      <c r="G13" s="48">
        <v>46218</v>
      </c>
      <c r="H13" s="52">
        <v>1</v>
      </c>
      <c r="I13" s="52">
        <v>0</v>
      </c>
      <c r="J13" s="52" t="s">
        <v>252</v>
      </c>
      <c r="K13" s="54"/>
      <c r="L13" s="53"/>
      <c r="M13" s="54"/>
    </row>
    <row r="14" spans="2:13" ht="30" customHeight="1">
      <c r="B14" s="6">
        <v>10</v>
      </c>
      <c r="C14" s="42" t="s">
        <v>61</v>
      </c>
      <c r="D14" s="34" t="s">
        <v>228</v>
      </c>
      <c r="E14" s="34" t="s">
        <v>152</v>
      </c>
      <c r="F14" s="48">
        <v>46218</v>
      </c>
      <c r="G14" s="48">
        <v>46218</v>
      </c>
      <c r="H14" s="52">
        <v>1</v>
      </c>
      <c r="I14" s="52">
        <v>0</v>
      </c>
      <c r="J14" s="52" t="s">
        <v>252</v>
      </c>
      <c r="K14" s="54"/>
      <c r="L14" s="53"/>
      <c r="M14" s="54"/>
    </row>
    <row r="15" spans="2:13" ht="30" customHeight="1">
      <c r="B15" s="6">
        <v>11</v>
      </c>
      <c r="C15" s="43" t="s">
        <v>62</v>
      </c>
      <c r="D15" s="34" t="s">
        <v>229</v>
      </c>
      <c r="E15" s="34" t="s">
        <v>151</v>
      </c>
      <c r="F15" s="48">
        <v>46218</v>
      </c>
      <c r="G15" s="48">
        <v>46218</v>
      </c>
      <c r="H15" s="52">
        <v>1</v>
      </c>
      <c r="I15" s="52">
        <v>0</v>
      </c>
      <c r="J15" s="52" t="s">
        <v>252</v>
      </c>
      <c r="K15" s="54"/>
      <c r="L15" s="53"/>
      <c r="M15" s="54"/>
    </row>
    <row r="16" spans="2:13" ht="30" customHeight="1">
      <c r="B16" s="6">
        <v>12</v>
      </c>
      <c r="C16" s="43" t="s">
        <v>62</v>
      </c>
      <c r="D16" s="34" t="s">
        <v>230</v>
      </c>
      <c r="E16" s="34" t="s">
        <v>152</v>
      </c>
      <c r="F16" s="48">
        <v>46218</v>
      </c>
      <c r="G16" s="48">
        <v>46218</v>
      </c>
      <c r="H16" s="52">
        <v>1</v>
      </c>
      <c r="I16" s="52">
        <v>0</v>
      </c>
      <c r="J16" s="52" t="s">
        <v>252</v>
      </c>
      <c r="K16" s="54"/>
      <c r="L16" s="53"/>
      <c r="M16" s="54"/>
    </row>
    <row r="17" spans="2:20" ht="30" customHeight="1">
      <c r="B17" s="6">
        <v>13</v>
      </c>
      <c r="C17" s="44" t="s">
        <v>63</v>
      </c>
      <c r="D17" s="34" t="s">
        <v>231</v>
      </c>
      <c r="E17" s="34" t="s">
        <v>151</v>
      </c>
      <c r="F17" s="48">
        <v>46218</v>
      </c>
      <c r="G17" s="48">
        <v>46219</v>
      </c>
      <c r="H17" s="52">
        <v>2</v>
      </c>
      <c r="I17" s="52">
        <v>0</v>
      </c>
      <c r="J17" s="52" t="s">
        <v>252</v>
      </c>
      <c r="K17" s="54"/>
      <c r="L17" s="53"/>
      <c r="M17" s="53"/>
    </row>
    <row r="18" spans="2:20" s="37" customFormat="1" ht="30" customHeight="1">
      <c r="B18" s="38">
        <v>14</v>
      </c>
      <c r="C18" s="44" t="s">
        <v>63</v>
      </c>
      <c r="D18" s="34" t="s">
        <v>232</v>
      </c>
      <c r="E18" s="34" t="s">
        <v>152</v>
      </c>
      <c r="F18" s="48">
        <v>46218</v>
      </c>
      <c r="G18" s="48">
        <v>46219</v>
      </c>
      <c r="H18" s="52">
        <v>2</v>
      </c>
      <c r="I18" s="52">
        <v>0</v>
      </c>
      <c r="J18" s="52" t="s">
        <v>252</v>
      </c>
      <c r="K18" s="54"/>
      <c r="L18" s="53"/>
      <c r="M18" s="53"/>
    </row>
    <row r="19" spans="2:20" s="37" customFormat="1" ht="30" customHeight="1">
      <c r="B19" s="38">
        <v>15</v>
      </c>
      <c r="C19" s="55" t="s">
        <v>64</v>
      </c>
      <c r="D19" s="34" t="s">
        <v>233</v>
      </c>
      <c r="E19" s="34" t="s">
        <v>150</v>
      </c>
      <c r="F19" s="48">
        <v>46218</v>
      </c>
      <c r="G19" s="48">
        <v>46219</v>
      </c>
      <c r="H19" s="52">
        <v>2</v>
      </c>
      <c r="I19" s="52">
        <v>0</v>
      </c>
      <c r="J19" s="52" t="s">
        <v>252</v>
      </c>
      <c r="K19" s="54"/>
      <c r="L19" s="53"/>
      <c r="M19" s="53"/>
    </row>
    <row r="20" spans="2:20" s="37" customFormat="1" ht="30" customHeight="1">
      <c r="B20" s="38">
        <v>16</v>
      </c>
      <c r="C20" s="55" t="s">
        <v>64</v>
      </c>
      <c r="D20" s="34" t="s">
        <v>234</v>
      </c>
      <c r="E20" s="34" t="s">
        <v>151</v>
      </c>
      <c r="F20" s="48">
        <v>46219</v>
      </c>
      <c r="G20" s="48">
        <v>46219</v>
      </c>
      <c r="H20" s="52">
        <v>1</v>
      </c>
      <c r="I20" s="52">
        <v>0</v>
      </c>
      <c r="J20" s="52" t="s">
        <v>252</v>
      </c>
      <c r="K20" s="54"/>
      <c r="L20" s="54"/>
      <c r="M20" s="53"/>
    </row>
    <row r="21" spans="2:20" s="37" customFormat="1" ht="30" customHeight="1">
      <c r="B21" s="38">
        <v>17</v>
      </c>
      <c r="C21" s="45" t="s">
        <v>65</v>
      </c>
      <c r="D21" s="34" t="s">
        <v>235</v>
      </c>
      <c r="E21" s="34" t="s">
        <v>150</v>
      </c>
      <c r="F21" s="48">
        <v>46219</v>
      </c>
      <c r="G21" s="48">
        <v>46219</v>
      </c>
      <c r="H21" s="52">
        <v>1</v>
      </c>
      <c r="I21" s="52">
        <v>0</v>
      </c>
      <c r="J21" s="52" t="s">
        <v>252</v>
      </c>
      <c r="K21" s="54"/>
      <c r="L21" s="54"/>
      <c r="M21" s="53"/>
    </row>
    <row r="22" spans="2:20" s="37" customFormat="1" ht="30" customHeight="1">
      <c r="B22" s="38">
        <v>18</v>
      </c>
      <c r="C22" s="45" t="s">
        <v>65</v>
      </c>
      <c r="D22" s="34" t="s">
        <v>236</v>
      </c>
      <c r="E22" s="34" t="s">
        <v>150</v>
      </c>
      <c r="F22" s="48">
        <v>46219</v>
      </c>
      <c r="G22" s="48">
        <v>46219</v>
      </c>
      <c r="H22" s="52">
        <v>1</v>
      </c>
      <c r="I22" s="52">
        <v>0</v>
      </c>
      <c r="J22" s="52" t="s">
        <v>252</v>
      </c>
      <c r="K22" s="54"/>
      <c r="L22" s="54"/>
      <c r="M22" s="53"/>
    </row>
    <row r="23" spans="2:20" ht="30">
      <c r="B23" s="38">
        <v>19</v>
      </c>
      <c r="C23" s="45" t="s">
        <v>65</v>
      </c>
      <c r="D23" s="34" t="s">
        <v>237</v>
      </c>
      <c r="E23" s="34" t="s">
        <v>150</v>
      </c>
      <c r="F23" s="48">
        <v>46219</v>
      </c>
      <c r="G23" s="48">
        <v>46219</v>
      </c>
      <c r="H23" s="52">
        <v>1</v>
      </c>
      <c r="I23" s="52">
        <v>0</v>
      </c>
      <c r="J23" s="52" t="s">
        <v>252</v>
      </c>
      <c r="K23" s="54"/>
      <c r="L23" s="54"/>
      <c r="M23" s="53"/>
    </row>
    <row r="24" spans="2:20" ht="15" customHeight="1">
      <c r="B24" s="100" t="s">
        <v>137</v>
      </c>
      <c r="C24" s="101"/>
      <c r="D24" s="31"/>
      <c r="E24" s="31"/>
      <c r="F24" s="39"/>
      <c r="G24" s="39"/>
      <c r="S24" s="85"/>
      <c r="T24" s="85"/>
    </row>
    <row r="25" spans="2:20" ht="15" customHeight="1">
      <c r="B25" s="102" t="s">
        <v>59</v>
      </c>
      <c r="C25" s="103"/>
      <c r="D25" s="31"/>
      <c r="E25" s="31"/>
      <c r="F25" s="39"/>
      <c r="G25" s="39"/>
      <c r="S25" s="85"/>
      <c r="T25" s="85"/>
    </row>
    <row r="26" spans="2:20" ht="15" customHeight="1">
      <c r="B26" s="104" t="s">
        <v>60</v>
      </c>
      <c r="C26" s="105"/>
      <c r="D26" s="31"/>
      <c r="E26" s="31"/>
      <c r="F26" s="39"/>
      <c r="G26" s="39"/>
      <c r="S26" s="85"/>
      <c r="T26" s="85"/>
    </row>
    <row r="27" spans="2:20" ht="15" customHeight="1">
      <c r="B27" s="88" t="s">
        <v>61</v>
      </c>
      <c r="C27" s="89"/>
      <c r="D27" s="31"/>
      <c r="E27" s="31"/>
      <c r="F27" s="39"/>
      <c r="G27" s="39"/>
      <c r="S27" s="85"/>
      <c r="T27" s="85"/>
    </row>
    <row r="28" spans="2:20" ht="15" customHeight="1">
      <c r="B28" s="90" t="s">
        <v>62</v>
      </c>
      <c r="C28" s="91"/>
      <c r="S28" s="85"/>
      <c r="T28" s="85"/>
    </row>
    <row r="29" spans="2:20" ht="15" customHeight="1">
      <c r="B29" s="92" t="s">
        <v>63</v>
      </c>
      <c r="C29" s="93"/>
      <c r="S29" s="85"/>
      <c r="T29" s="85"/>
    </row>
    <row r="30" spans="2:20" ht="15" customHeight="1">
      <c r="B30" s="94" t="s">
        <v>64</v>
      </c>
      <c r="C30" s="95"/>
      <c r="S30" s="85"/>
      <c r="T30" s="85"/>
    </row>
    <row r="31" spans="2:20" ht="15" customHeight="1">
      <c r="B31" s="96" t="s">
        <v>65</v>
      </c>
      <c r="C31" s="97"/>
      <c r="S31" s="85"/>
      <c r="T31" s="85"/>
    </row>
    <row r="32" spans="2:20" ht="15" customHeight="1">
      <c r="B32" s="86" t="s">
        <v>66</v>
      </c>
      <c r="C32" s="87"/>
      <c r="S32" s="85"/>
      <c r="T32" s="85"/>
    </row>
    <row r="33" spans="19:20">
      <c r="S33" s="58"/>
      <c r="T33" s="58"/>
    </row>
  </sheetData>
  <mergeCells count="20">
    <mergeCell ref="B3:M3"/>
    <mergeCell ref="B2:M2"/>
    <mergeCell ref="B24:C24"/>
    <mergeCell ref="B25:C25"/>
    <mergeCell ref="B26:C26"/>
    <mergeCell ref="B32:C32"/>
    <mergeCell ref="B27:C27"/>
    <mergeCell ref="B28:C28"/>
    <mergeCell ref="B29:C29"/>
    <mergeCell ref="B30:C30"/>
    <mergeCell ref="B31:C31"/>
    <mergeCell ref="S29:T29"/>
    <mergeCell ref="S30:T30"/>
    <mergeCell ref="S31:T31"/>
    <mergeCell ref="S32:T32"/>
    <mergeCell ref="S24:T24"/>
    <mergeCell ref="S25:T25"/>
    <mergeCell ref="S26:T26"/>
    <mergeCell ref="S27:T27"/>
    <mergeCell ref="S28:T28"/>
  </mergeCells>
  <phoneticPr fontId="17" type="noConversion"/>
  <conditionalFormatting sqref="K5:M23">
    <cfRule type="expression" dxfId="0" priority="3">
      <formula>AND(K$4&gt;=$F5,K$4&lt;=$G5)</formula>
    </cfRule>
  </conditionalFormatting>
  <dataValidations count="2">
    <dataValidation type="list" allowBlank="1" sqref="C5:C23" xr:uid="{00000000-0002-0000-0500-000000000000}">
      <formula1>"기획,설계,개발,배포,테스트,문서화,발표준비"</formula1>
      <formula2>0</formula2>
    </dataValidation>
    <dataValidation type="list" allowBlank="1" sqref="J5:J23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68" t="s">
        <v>67</v>
      </c>
      <c r="C2" s="69"/>
    </row>
    <row r="3" spans="2:3" ht="19.5" customHeight="1">
      <c r="B3" s="76" t="s">
        <v>68</v>
      </c>
      <c r="C3" s="62"/>
    </row>
    <row r="5" spans="2:3" ht="19.5" customHeight="1">
      <c r="B5" s="7" t="s">
        <v>69</v>
      </c>
      <c r="C5" s="7" t="s">
        <v>70</v>
      </c>
    </row>
    <row r="6" spans="2:3" ht="30" customHeight="1">
      <c r="B6" s="5" t="s">
        <v>71</v>
      </c>
      <c r="C6" s="2" t="s">
        <v>72</v>
      </c>
    </row>
    <row r="7" spans="2:3" ht="30" customHeight="1">
      <c r="B7" s="5" t="s">
        <v>73</v>
      </c>
      <c r="C7" s="2" t="s">
        <v>74</v>
      </c>
    </row>
    <row r="8" spans="2:3" ht="30" customHeight="1">
      <c r="B8" s="5" t="s">
        <v>75</v>
      </c>
      <c r="C8" s="2" t="s">
        <v>76</v>
      </c>
    </row>
    <row r="9" spans="2:3" ht="30" customHeight="1">
      <c r="B9" s="1" t="s">
        <v>77</v>
      </c>
      <c r="C9" s="2" t="s">
        <v>78</v>
      </c>
    </row>
    <row r="10" spans="2:3" ht="30" customHeight="1">
      <c r="B10" s="5" t="s">
        <v>79</v>
      </c>
      <c r="C10" s="2" t="s">
        <v>80</v>
      </c>
    </row>
    <row r="11" spans="2:3" ht="30" customHeight="1">
      <c r="B11" s="5" t="s">
        <v>81</v>
      </c>
      <c r="C11" s="2" t="s">
        <v>82</v>
      </c>
    </row>
    <row r="12" spans="2:3" ht="30" customHeight="1">
      <c r="B12" s="5" t="s">
        <v>83</v>
      </c>
      <c r="C12" s="2" t="s">
        <v>84</v>
      </c>
    </row>
    <row r="13" spans="2:3" ht="30" customHeight="1">
      <c r="B13" s="1" t="s">
        <v>85</v>
      </c>
      <c r="C13" s="2" t="s">
        <v>86</v>
      </c>
    </row>
    <row r="14" spans="2:3" ht="30" customHeight="1">
      <c r="B14" s="5" t="s">
        <v>87</v>
      </c>
      <c r="C14" s="2" t="s">
        <v>88</v>
      </c>
    </row>
    <row r="15" spans="2:3" ht="30" customHeight="1">
      <c r="B15" s="1" t="s">
        <v>89</v>
      </c>
      <c r="C15" s="2" t="s">
        <v>90</v>
      </c>
    </row>
    <row r="16" spans="2:3" ht="30" customHeight="1">
      <c r="B16" s="1" t="s">
        <v>91</v>
      </c>
      <c r="C16" s="2" t="s">
        <v>92</v>
      </c>
    </row>
    <row r="17" spans="2:3" ht="30" customHeight="1">
      <c r="B17" s="5" t="s">
        <v>93</v>
      </c>
      <c r="C17" s="2" t="s">
        <v>94</v>
      </c>
    </row>
    <row r="18" spans="2:3" ht="30" customHeight="1">
      <c r="B18" s="1" t="s">
        <v>95</v>
      </c>
      <c r="C18" s="2" t="s">
        <v>96</v>
      </c>
    </row>
    <row r="19" spans="2:3" ht="30" customHeight="1">
      <c r="B19" s="1" t="s">
        <v>97</v>
      </c>
      <c r="C19" s="2" t="s">
        <v>98</v>
      </c>
    </row>
    <row r="20" spans="2:3" ht="30" customHeight="1">
      <c r="B20" s="1" t="s">
        <v>99</v>
      </c>
      <c r="C20" s="2" t="s">
        <v>100</v>
      </c>
    </row>
    <row r="21" spans="2:3" ht="30" customHeight="1">
      <c r="B21" s="1" t="s">
        <v>101</v>
      </c>
      <c r="C21" s="3" t="s">
        <v>102</v>
      </c>
    </row>
    <row r="22" spans="2:3" ht="30" customHeight="1">
      <c r="B22" s="1" t="s">
        <v>103</v>
      </c>
      <c r="C22" s="2" t="s">
        <v>104</v>
      </c>
    </row>
    <row r="23" spans="2:3" ht="30" customHeight="1">
      <c r="B23" s="5" t="s">
        <v>105</v>
      </c>
      <c r="C23" s="2" t="s">
        <v>106</v>
      </c>
    </row>
    <row r="24" spans="2:3" ht="30" customHeight="1">
      <c r="B24" s="5" t="s">
        <v>107</v>
      </c>
      <c r="C24" s="2" t="s">
        <v>108</v>
      </c>
    </row>
    <row r="25" spans="2:3" ht="30" customHeight="1">
      <c r="B25" s="5" t="s">
        <v>109</v>
      </c>
      <c r="C25" s="2" t="s">
        <v>110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2026-07-15T08:46:02Z</dcterms:modified>
  <dc:language>en-US</dc:language>
</cp:coreProperties>
</file>